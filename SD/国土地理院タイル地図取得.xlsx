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6fbc8bd53dbac4/ドキュメント/"/>
    </mc:Choice>
  </mc:AlternateContent>
  <xr:revisionPtr revIDLastSave="1" documentId="8_{0B85F10B-587C-4454-8B50-1A10D90295EE}" xr6:coauthVersionLast="47" xr6:coauthVersionMax="47" xr10:uidLastSave="{EF59A806-44F9-4278-BF62-6587817CE094}"/>
  <bookViews>
    <workbookView xWindow="-108" yWindow="-108" windowWidth="23256" windowHeight="12456" xr2:uid="{A00DF009-17B8-4131-861A-149C80B86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E9" i="1"/>
  <c r="D9" i="1"/>
  <c r="H9" i="1" s="1"/>
  <c r="J9" i="1" s="1"/>
  <c r="C9" i="1"/>
  <c r="C5" i="1"/>
  <c r="F5" i="1"/>
  <c r="E5" i="1"/>
  <c r="D5" i="1"/>
  <c r="G9" i="1" l="1"/>
  <c r="I9" i="1" s="1"/>
  <c r="G5" i="1"/>
  <c r="I5" i="1" s="1"/>
  <c r="L7" i="1" s="1"/>
  <c r="H5" i="1"/>
  <c r="J5" i="1" s="1"/>
  <c r="K5" i="1" s="1"/>
  <c r="M6" i="1" l="1"/>
  <c r="K7" i="1"/>
  <c r="L6" i="1"/>
  <c r="L5" i="1"/>
  <c r="K6" i="1"/>
  <c r="M7" i="1"/>
  <c r="M5" i="1"/>
</calcChain>
</file>

<file path=xl/sharedStrings.xml><?xml version="1.0" encoding="utf-8"?>
<sst xmlns="http://schemas.openxmlformats.org/spreadsheetml/2006/main" count="13" uniqueCount="13">
  <si>
    <t>ズームレベル</t>
    <phoneticPr fontId="1"/>
  </si>
  <si>
    <t>ピクセルx</t>
    <phoneticPr fontId="1"/>
  </si>
  <si>
    <t>ピクセルy</t>
    <phoneticPr fontId="1"/>
  </si>
  <si>
    <t>経度(東経)</t>
    <phoneticPr fontId="1"/>
  </si>
  <si>
    <t>緯度(北緯)</t>
    <phoneticPr fontId="1"/>
  </si>
  <si>
    <t>国土地理院URL</t>
    <rPh sb="0" eb="5">
      <t>コクドチリイン</t>
    </rPh>
    <phoneticPr fontId="1"/>
  </si>
  <si>
    <t>https://www.trail-note.net/tech/coordinate/</t>
    <phoneticPr fontId="1"/>
  </si>
  <si>
    <t>https://maps.gsi.go.jp/development/ichiran.html</t>
    <phoneticPr fontId="1"/>
  </si>
  <si>
    <t>タイルx</t>
    <phoneticPr fontId="1"/>
  </si>
  <si>
    <t>タイルy</t>
    <phoneticPr fontId="1"/>
  </si>
  <si>
    <t>https://maps.gsi.go.jp/#18/34.844980/136.536265/&amp;base=pale&amp;ls=pale&amp;disp=1&amp;vs=c1g1j0h0k0l0u0t0z0r0s0m0f1&amp;d=m</t>
    <phoneticPr fontId="1"/>
  </si>
  <si>
    <t>元URL</t>
    <rPh sb="0" eb="1">
      <t>モト</t>
    </rPh>
    <phoneticPr fontId="1"/>
  </si>
  <si>
    <t>地図モード</t>
    <rPh sb="0" eb="2">
      <t>チズ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</si>
</sst>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2" fillId="2" borderId="0" xfId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gsi.go.jp/" TargetMode="External"/><Relationship Id="rId2" Type="http://schemas.openxmlformats.org/officeDocument/2006/relationships/hyperlink" Target="https://maps.gsi.go.jp/development/ichiran.html" TargetMode="External"/><Relationship Id="rId1" Type="http://schemas.openxmlformats.org/officeDocument/2006/relationships/hyperlink" Target="https://www.trail-note.net/tech/coordinate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1630-5CF2-4FC5-9722-A5546F25B60F}">
  <dimension ref="B1:M11"/>
  <sheetViews>
    <sheetView tabSelected="1" workbookViewId="0">
      <selection activeCell="A7" sqref="A7"/>
    </sheetView>
  </sheetViews>
  <sheetFormatPr defaultRowHeight="18" x14ac:dyDescent="0.45"/>
  <cols>
    <col min="3" max="3" width="10.3984375" bestFit="1" customWidth="1"/>
    <col min="4" max="4" width="12.19921875" bestFit="1" customWidth="1"/>
    <col min="5" max="6" width="10.3984375" bestFit="1" customWidth="1"/>
    <col min="7" max="8" width="9.3984375" bestFit="1" customWidth="1"/>
    <col min="9" max="10" width="9.3984375" customWidth="1"/>
    <col min="19" max="19" width="9.3984375" bestFit="1" customWidth="1"/>
  </cols>
  <sheetData>
    <row r="1" spans="2:13" x14ac:dyDescent="0.45">
      <c r="B1" s="1"/>
      <c r="D1" s="1"/>
    </row>
    <row r="2" spans="2:13" x14ac:dyDescent="0.45">
      <c r="B2" s="1" t="s">
        <v>7</v>
      </c>
    </row>
    <row r="3" spans="2:13" x14ac:dyDescent="0.45">
      <c r="B3" s="1" t="s">
        <v>6</v>
      </c>
    </row>
    <row r="4" spans="2:13" x14ac:dyDescent="0.45">
      <c r="B4" t="s">
        <v>11</v>
      </c>
      <c r="C4" t="s">
        <v>12</v>
      </c>
      <c r="D4" t="s">
        <v>0</v>
      </c>
      <c r="E4" t="s">
        <v>4</v>
      </c>
      <c r="F4" t="s">
        <v>3</v>
      </c>
      <c r="G4" t="s">
        <v>1</v>
      </c>
      <c r="H4" t="s">
        <v>2</v>
      </c>
      <c r="I4" t="s">
        <v>8</v>
      </c>
      <c r="J4" t="s">
        <v>9</v>
      </c>
      <c r="K4" t="s">
        <v>5</v>
      </c>
    </row>
    <row r="5" spans="2:13" x14ac:dyDescent="0.45">
      <c r="B5" s="1" t="s">
        <v>10</v>
      </c>
      <c r="C5" t="str">
        <f>MID(B5,FIND("=",B5)+1,FIND("&amp;",B5,FIND("&amp;",B5)+1)-FIND("=",B5)-1)</f>
        <v>pale</v>
      </c>
      <c r="D5" t="str">
        <f>MID(B5,FIND("#",B5)+1,2)</f>
        <v>18</v>
      </c>
      <c r="E5" t="str">
        <f>MID(B5,FIND("/",B5,FIND("/",B5,FIND("/",B5,FIND("/",B5)+1)+1)+1)+1,9)</f>
        <v>34.844980</v>
      </c>
      <c r="F5" t="str">
        <f>MID(B5,FIND("/",B5,FIND("/",B5,FIND("/",B5,FIND("/",B5,FIND("/",B5)+1)+1)+1)+1)+1,9)</f>
        <v>136.53626</v>
      </c>
      <c r="G5">
        <f>INT(POWER(2,D5+7)*((F5/180)+1))</f>
        <v>59006635</v>
      </c>
      <c r="H5">
        <f>INT(POWER(2,D5+7)*(-1*ATANH(SIN(PI()*E5/180))+ATANH(SIN(PI()*85.05112878/180)))/PI())</f>
        <v>26616919</v>
      </c>
      <c r="I5">
        <f>INT(G5/256)</f>
        <v>230494</v>
      </c>
      <c r="J5">
        <f>INT(H5/256)</f>
        <v>103972</v>
      </c>
      <c r="K5" s="1" t="str">
        <f>HYPERLINK(CONCATENATE("https://cyberjapandata.gsi.go.jp/xyz/","/",C5,"/",D5,"/",I5-1,"/",J5-1,".png"))</f>
        <v>https://cyberjapandata.gsi.go.jp/xyz//pale/18/230493/103971.png</v>
      </c>
      <c r="L5" s="1" t="str">
        <f>HYPERLINK(CONCATENATE("https://cyberjapandata.gsi.go.jp/xyz/","/",C5,"/",D5,"/",I5,"/",J5-1,".png"))</f>
        <v>https://cyberjapandata.gsi.go.jp/xyz//pale/18/230494/103971.png</v>
      </c>
      <c r="M5" s="1" t="str">
        <f>HYPERLINK(CONCATENATE("https://cyberjapandata.gsi.go.jp/xyz/","/",C5,"/",D5,"/",I5+1,"/",J5-1,".png"))</f>
        <v>https://cyberjapandata.gsi.go.jp/xyz//pale/18/230495/103971.png</v>
      </c>
    </row>
    <row r="6" spans="2:13" x14ac:dyDescent="0.45">
      <c r="K6" s="1" t="str">
        <f>HYPERLINK(CONCATENATE("https://cyberjapandata.gsi.go.jp/xyz/","/",C5,"/",D5,"/",I5-1,"/",J5,".png"))</f>
        <v>https://cyberjapandata.gsi.go.jp/xyz//pale/18/230493/103972.png</v>
      </c>
      <c r="L6" s="2" t="str">
        <f>HYPERLINK(CONCATENATE("https://cyberjapandata.gsi.go.jp/xyz/","/",C5,"/",D5,"/",I5,"/",J5,".png"))</f>
        <v>https://cyberjapandata.gsi.go.jp/xyz//pale/18/230494/103972.png</v>
      </c>
      <c r="M6" s="1" t="str">
        <f>HYPERLINK(CONCATENATE("https://cyberjapandata.gsi.go.jp/xyz/","/",C5,"/",D5,"/",I5+1,"/",J5,".png"))</f>
        <v>https://cyberjapandata.gsi.go.jp/xyz//pale/18/230495/103972.png</v>
      </c>
    </row>
    <row r="7" spans="2:13" x14ac:dyDescent="0.45">
      <c r="K7" s="1" t="str">
        <f>HYPERLINK(CONCATENATE("https://cyberjapandata.gsi.go.jp/xyz/","/",C5,"/",D5,"/",I5-1,"/",J5+1,".png"))</f>
        <v>https://cyberjapandata.gsi.go.jp/xyz//pale/18/230493/103973.png</v>
      </c>
      <c r="L7" s="1" t="str">
        <f>HYPERLINK(CONCATENATE("https://cyberjapandata.gsi.go.jp/xyz/","/",C5,"/",D5,"/",I5,"/",J5+1,".png"))</f>
        <v>https://cyberjapandata.gsi.go.jp/xyz//pale/18/230494/103973.png</v>
      </c>
      <c r="M7" s="1" t="str">
        <f>HYPERLINK(CONCATENATE("https://cyberjapandata.gsi.go.jp/xyz/","/",C5,"/",D5,"/",I5+1,"/",J5+1,".png"))</f>
        <v>https://cyberjapandata.gsi.go.jp/xyz//pale/18/230495/103973.png</v>
      </c>
    </row>
    <row r="9" spans="2:13" x14ac:dyDescent="0.45">
      <c r="B9" s="1"/>
      <c r="C9" t="e">
        <f>MID(B9,FIND("=",B9)+1,FIND("&amp;",B9,FIND("&amp;",B9)+1)-FIND("=",B9)-1)</f>
        <v>#VALUE!</v>
      </c>
      <c r="D9" t="e">
        <f>MID(B9,FIND("#",B9)+1,2)</f>
        <v>#VALUE!</v>
      </c>
      <c r="E9" t="e">
        <f>MID(B9,FIND("/",B9,FIND("/",B9,FIND("/",B9,FIND("/",B9)+1)+1)+1)+1,9)</f>
        <v>#VALUE!</v>
      </c>
      <c r="F9" t="e">
        <f>MID(B9,FIND("/",B9,FIND("/",B9,FIND("/",B9,FIND("/",B9,FIND("/",B9)+1)+1)+1)+1)+1,9)</f>
        <v>#VALUE!</v>
      </c>
      <c r="G9" t="e">
        <f>INT(POWER(2,D9+7)*((F9/180)+1))</f>
        <v>#VALUE!</v>
      </c>
      <c r="H9" t="e">
        <f>INT(POWER(2,D9+7)*(-1*ATANH(SIN(PI()*E9/180))+ATANH(SIN(PI()*85.05112878/180)))/PI())</f>
        <v>#VALUE!</v>
      </c>
      <c r="I9" t="e">
        <f>INT(G9/256)</f>
        <v>#VALUE!</v>
      </c>
      <c r="J9" t="e">
        <f>INT(H9/256)</f>
        <v>#VALUE!</v>
      </c>
    </row>
    <row r="11" spans="2:13" x14ac:dyDescent="0.45">
      <c r="L11" s="1"/>
    </row>
  </sheetData>
  <phoneticPr fontId="1"/>
  <hyperlinks>
    <hyperlink ref="B3" r:id="rId1" xr:uid="{4ED50196-F1A8-47E4-B002-D0D352DD58BF}"/>
    <hyperlink ref="B2" r:id="rId2" xr:uid="{508B1117-A732-4634-9CCA-92CD9C777CDA}"/>
    <hyperlink ref="B5" r:id="rId3" location="18/34.844980/136.536265/&amp;base=pale&amp;ls=pale&amp;disp=1&amp;vs=c1g1j0h0k0l0u0t0z0r0s0m0f1&amp;d=m" xr:uid="{28CA63EA-887B-4006-B1BA-4812288C449D}"/>
  </hyperlinks>
  <pageMargins left="0.7" right="0.7" top="0.75" bottom="0.75" header="0.3" footer="0.3"/>
  <pageSetup paperSize="262" orientation="landscape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樟智裕</dc:creator>
  <cp:lastModifiedBy>樟 智裕</cp:lastModifiedBy>
  <dcterms:created xsi:type="dcterms:W3CDTF">2023-06-11T09:35:45Z</dcterms:created>
  <dcterms:modified xsi:type="dcterms:W3CDTF">2023-06-11T11:58:01Z</dcterms:modified>
</cp:coreProperties>
</file>